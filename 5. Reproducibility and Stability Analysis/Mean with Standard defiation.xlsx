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(1) PHD\(9) بسم الله لا قوة إلا بالله\dr. shahira papers\1. part 1 (paper ANER)  اتبعتت ولسة متوافقش عليها\2. After Revewing Published Paper إن شاء الله20 - 11-2025\R3 - Reviewer Responses to send  29 - 9\"/>
    </mc:Choice>
  </mc:AlternateContent>
  <xr:revisionPtr revIDLastSave="0" documentId="13_ncr:1_{891AE71A-4C8E-4061-94C3-53128D2B893C}" xr6:coauthVersionLast="47" xr6:coauthVersionMax="47" xr10:uidLastSave="{00000000-0000-0000-0000-000000000000}"/>
  <bookViews>
    <workbookView xWindow="645" yWindow="1320" windowWidth="10500" windowHeight="9240" xr2:uid="{60733354-C275-45C3-9356-A578F5DFE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4" i="1" l="1"/>
  <c r="R33" i="1"/>
  <c r="R32" i="1"/>
  <c r="Q34" i="1"/>
  <c r="Q33" i="1"/>
  <c r="Q32" i="1"/>
  <c r="P34" i="1"/>
  <c r="P33" i="1"/>
  <c r="P32" i="1"/>
  <c r="O34" i="1"/>
  <c r="O33" i="1"/>
  <c r="O32" i="1"/>
  <c r="R26" i="1"/>
  <c r="R25" i="1"/>
  <c r="R24" i="1"/>
  <c r="Q26" i="1"/>
  <c r="Q25" i="1"/>
  <c r="Q24" i="1"/>
  <c r="P26" i="1"/>
  <c r="P25" i="1"/>
  <c r="P24" i="1"/>
  <c r="O26" i="1"/>
  <c r="O25" i="1"/>
  <c r="O24" i="1"/>
  <c r="J40" i="1"/>
  <c r="K41" i="1" s="1"/>
  <c r="N34" i="1"/>
  <c r="N33" i="1"/>
  <c r="N32" i="1"/>
  <c r="M34" i="1"/>
  <c r="M33" i="1"/>
  <c r="M32" i="1"/>
  <c r="L34" i="1"/>
  <c r="L33" i="1"/>
  <c r="L32" i="1"/>
  <c r="K34" i="1"/>
  <c r="K33" i="1"/>
  <c r="K32" i="1"/>
  <c r="J34" i="1"/>
  <c r="J33" i="1"/>
  <c r="J32" i="1"/>
  <c r="I34" i="1"/>
  <c r="I33" i="1"/>
  <c r="I32" i="1"/>
  <c r="H34" i="1"/>
  <c r="H33" i="1"/>
  <c r="H32" i="1"/>
  <c r="G34" i="1"/>
  <c r="G33" i="1"/>
  <c r="G32" i="1"/>
  <c r="N26" i="1"/>
  <c r="N25" i="1"/>
  <c r="N24" i="1"/>
  <c r="M26" i="1"/>
  <c r="M25" i="1"/>
  <c r="M24" i="1"/>
  <c r="L26" i="1"/>
  <c r="L25" i="1"/>
  <c r="L24" i="1"/>
  <c r="K26" i="1"/>
  <c r="K25" i="1"/>
  <c r="K24" i="1"/>
  <c r="I24" i="1"/>
  <c r="J26" i="1"/>
  <c r="J25" i="1"/>
  <c r="J24" i="1"/>
  <c r="I26" i="1"/>
  <c r="I25" i="1"/>
  <c r="H26" i="1"/>
  <c r="H25" i="1"/>
  <c r="H24" i="1"/>
  <c r="G26" i="1"/>
  <c r="G25" i="1"/>
  <c r="G24" i="1"/>
  <c r="K38" i="1" l="1"/>
  <c r="K39" i="1"/>
  <c r="K40" i="1"/>
</calcChain>
</file>

<file path=xl/sharedStrings.xml><?xml version="1.0" encoding="utf-8"?>
<sst xmlns="http://schemas.openxmlformats.org/spreadsheetml/2006/main" count="99" uniqueCount="30">
  <si>
    <t xml:space="preserve">Model </t>
  </si>
  <si>
    <t>Seed 1</t>
  </si>
  <si>
    <t>Seed 2</t>
  </si>
  <si>
    <t>Seed 3</t>
  </si>
  <si>
    <t>Seed 4</t>
  </si>
  <si>
    <t>Seed 5</t>
  </si>
  <si>
    <t>P</t>
  </si>
  <si>
    <t>R</t>
  </si>
  <si>
    <t>F</t>
  </si>
  <si>
    <t xml:space="preserve">CAMeL-msa-NER </t>
  </si>
  <si>
    <t>Mean</t>
  </si>
  <si>
    <t>SD</t>
  </si>
  <si>
    <t>Camel-MSA</t>
  </si>
  <si>
    <t>ANERCORP</t>
  </si>
  <si>
    <t>Camel-CA</t>
  </si>
  <si>
    <t xml:space="preserve">CAMeL-ca-NER </t>
  </si>
  <si>
    <t xml:space="preserve">CAMeL-mix-NER </t>
  </si>
  <si>
    <t>mBERT</t>
  </si>
  <si>
    <t>Camel-MIX</t>
  </si>
  <si>
    <t>mbert</t>
  </si>
  <si>
    <t>CANER</t>
  </si>
  <si>
    <t>CAMeL-msa-NER</t>
  </si>
  <si>
    <t>Arbert</t>
  </si>
  <si>
    <t>CAMeL-ca-NER</t>
  </si>
  <si>
    <t>CAMeL-mix-NER</t>
  </si>
  <si>
    <t>ArBERT</t>
  </si>
  <si>
    <t>ET-ANER – Majority Voting</t>
  </si>
  <si>
    <t>Majority Voting</t>
  </si>
  <si>
    <t>Weighted</t>
  </si>
  <si>
    <t>ET-ANER – Weighted 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</si>
</sst>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000000"/>
      <name val="Times New Roman"/>
      <family val="1"/>
    </font>
    <font>
      <b/>
      <sz val="7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vertical="center" wrapText="1"/>
    </xf>
    <xf numFmtId="0" fontId="0" fillId="0" borderId="8" xfId="0" applyBorder="1"/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8" xfId="0" applyFill="1" applyBorder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A868-0BD6-4EDB-91E2-39B3142141A4}">
  <dimension ref="A1:R41"/>
  <sheetViews>
    <sheetView tabSelected="1" topLeftCell="E1" zoomScale="90" zoomScaleNormal="90" workbookViewId="0">
      <pane ySplit="2" topLeftCell="A34" activePane="bottomLeft" state="frozen"/>
      <selection pane="bottomLeft" activeCell="I38" sqref="I38:I41"/>
    </sheetView>
  </sheetViews>
  <sheetFormatPr defaultRowHeight="15" x14ac:dyDescent="0.25"/>
  <cols>
    <col min="5" max="5" width="8.28515625" customWidth="1"/>
    <col min="10" max="10" width="10.7109375" customWidth="1"/>
    <col min="12" max="12" width="8.85546875" customWidth="1"/>
  </cols>
  <sheetData>
    <row r="1" spans="1:16" ht="15.75" thickBot="1" x14ac:dyDescent="0.3">
      <c r="A1" s="32" t="s">
        <v>0</v>
      </c>
      <c r="B1" s="34" t="s">
        <v>1</v>
      </c>
      <c r="C1" s="35"/>
      <c r="D1" s="36"/>
      <c r="E1" s="34" t="s">
        <v>2</v>
      </c>
      <c r="F1" s="35"/>
      <c r="G1" s="36"/>
      <c r="H1" s="34" t="s">
        <v>3</v>
      </c>
      <c r="I1" s="35"/>
      <c r="J1" s="36"/>
      <c r="K1" s="34" t="s">
        <v>4</v>
      </c>
      <c r="L1" s="35"/>
      <c r="M1" s="36"/>
      <c r="N1" s="34" t="s">
        <v>5</v>
      </c>
      <c r="O1" s="35"/>
      <c r="P1" s="36"/>
    </row>
    <row r="2" spans="1:16" ht="15.75" thickBot="1" x14ac:dyDescent="0.3">
      <c r="A2" s="33"/>
      <c r="B2" s="3" t="s">
        <v>6</v>
      </c>
      <c r="C2" s="3" t="s">
        <v>7</v>
      </c>
      <c r="D2" s="4" t="s">
        <v>8</v>
      </c>
      <c r="E2" s="4" t="s">
        <v>6</v>
      </c>
      <c r="F2" s="4" t="s">
        <v>7</v>
      </c>
      <c r="G2" s="4" t="s">
        <v>8</v>
      </c>
      <c r="H2" s="3" t="s">
        <v>6</v>
      </c>
      <c r="I2" s="3" t="s">
        <v>7</v>
      </c>
      <c r="J2" s="3" t="s">
        <v>8</v>
      </c>
      <c r="K2" s="3" t="s">
        <v>6</v>
      </c>
      <c r="L2" s="3" t="s">
        <v>7</v>
      </c>
      <c r="M2" s="3" t="s">
        <v>8</v>
      </c>
      <c r="N2" s="4" t="s">
        <v>6</v>
      </c>
      <c r="O2" s="4" t="s">
        <v>7</v>
      </c>
      <c r="P2" s="4" t="s">
        <v>8</v>
      </c>
    </row>
    <row r="3" spans="1:16" ht="18.75" thickBot="1" x14ac:dyDescent="0.3">
      <c r="A3" s="5" t="s">
        <v>9</v>
      </c>
      <c r="B3" s="6">
        <v>92.8</v>
      </c>
      <c r="C3" s="6">
        <v>94.8</v>
      </c>
      <c r="D3" s="7">
        <v>93.8</v>
      </c>
      <c r="E3" s="7">
        <v>91.4</v>
      </c>
      <c r="F3" s="7">
        <v>94.1</v>
      </c>
      <c r="G3" s="7">
        <v>92.7</v>
      </c>
      <c r="H3" s="6">
        <v>92.9</v>
      </c>
      <c r="I3" s="6">
        <v>93.9</v>
      </c>
      <c r="J3" s="6">
        <v>93.4</v>
      </c>
      <c r="K3" s="6">
        <v>92.1</v>
      </c>
      <c r="L3" s="6">
        <v>94.6</v>
      </c>
      <c r="M3" s="6">
        <v>93.3</v>
      </c>
      <c r="N3" s="7">
        <v>92.8</v>
      </c>
      <c r="O3" s="7">
        <v>94.5</v>
      </c>
      <c r="P3" s="7">
        <v>93.7</v>
      </c>
    </row>
    <row r="4" spans="1:16" ht="18.75" thickBot="1" x14ac:dyDescent="0.3">
      <c r="A4" s="15" t="s">
        <v>15</v>
      </c>
      <c r="B4" s="1">
        <v>87.8</v>
      </c>
      <c r="C4" s="1">
        <v>87.7</v>
      </c>
      <c r="D4" s="2">
        <v>87.7</v>
      </c>
      <c r="E4" s="2">
        <v>87.5</v>
      </c>
      <c r="F4" s="2">
        <v>88.8</v>
      </c>
      <c r="G4" s="2">
        <v>88.1</v>
      </c>
      <c r="H4" s="1">
        <v>87.3</v>
      </c>
      <c r="I4" s="1">
        <v>88.4</v>
      </c>
      <c r="J4" s="1">
        <v>87.8</v>
      </c>
      <c r="K4" s="1">
        <v>87.9</v>
      </c>
      <c r="L4" s="1">
        <v>88.3</v>
      </c>
      <c r="M4" s="1">
        <v>88.1</v>
      </c>
      <c r="N4" s="2">
        <v>84.2</v>
      </c>
      <c r="O4" s="2">
        <v>87.7</v>
      </c>
      <c r="P4" s="2">
        <v>85.9</v>
      </c>
    </row>
    <row r="5" spans="1:16" ht="15.75" thickBot="1" x14ac:dyDescent="0.3"/>
    <row r="6" spans="1:16" ht="18.75" thickBot="1" x14ac:dyDescent="0.3">
      <c r="A6" s="15" t="s">
        <v>16</v>
      </c>
      <c r="B6" s="1">
        <v>93.2</v>
      </c>
      <c r="C6" s="1">
        <v>95.2</v>
      </c>
      <c r="D6" s="2">
        <v>94.2</v>
      </c>
      <c r="E6" s="2">
        <v>92.9</v>
      </c>
      <c r="F6" s="2">
        <v>94.5</v>
      </c>
      <c r="G6" s="2">
        <v>93.7</v>
      </c>
      <c r="H6" s="1">
        <v>93.2</v>
      </c>
      <c r="I6" s="1">
        <v>94.1</v>
      </c>
      <c r="J6" s="1">
        <v>93.7</v>
      </c>
      <c r="K6" s="1">
        <v>93</v>
      </c>
      <c r="L6" s="1">
        <v>94.6</v>
      </c>
      <c r="M6" s="1">
        <v>93.8</v>
      </c>
      <c r="N6" s="2">
        <v>93.9</v>
      </c>
      <c r="O6" s="2">
        <v>94.9</v>
      </c>
      <c r="P6" s="2">
        <v>94.4</v>
      </c>
    </row>
    <row r="7" spans="1:16" ht="15.75" thickBot="1" x14ac:dyDescent="0.3">
      <c r="A7" s="15" t="s">
        <v>17</v>
      </c>
      <c r="B7" s="1">
        <v>92.3</v>
      </c>
      <c r="C7" s="1">
        <v>93.5</v>
      </c>
      <c r="D7" s="2">
        <v>92.9</v>
      </c>
      <c r="E7" s="2">
        <v>94.2</v>
      </c>
      <c r="F7" s="2">
        <v>93.6</v>
      </c>
      <c r="G7" s="2">
        <v>93.9</v>
      </c>
      <c r="H7" s="1">
        <v>92.9</v>
      </c>
      <c r="I7" s="1">
        <v>95.1</v>
      </c>
      <c r="J7" s="1">
        <v>93.9</v>
      </c>
      <c r="K7" s="1">
        <v>93.8</v>
      </c>
      <c r="L7" s="1">
        <v>94.4</v>
      </c>
      <c r="M7" s="1">
        <v>94.1</v>
      </c>
      <c r="N7" s="2">
        <v>92.7</v>
      </c>
      <c r="O7" s="2">
        <v>93.6</v>
      </c>
      <c r="P7" s="2">
        <v>93.2</v>
      </c>
    </row>
    <row r="8" spans="1:16" ht="39" thickBot="1" x14ac:dyDescent="0.3">
      <c r="A8" s="20" t="s">
        <v>26</v>
      </c>
      <c r="B8" s="18">
        <v>94.5</v>
      </c>
      <c r="C8" s="18">
        <v>95</v>
      </c>
      <c r="D8" s="18">
        <v>94.8</v>
      </c>
      <c r="E8" s="19">
        <v>93.7</v>
      </c>
      <c r="F8" s="19">
        <v>94.3</v>
      </c>
      <c r="G8" s="19">
        <v>94</v>
      </c>
      <c r="H8" s="18">
        <v>93.8</v>
      </c>
      <c r="I8" s="18">
        <v>94.5</v>
      </c>
      <c r="J8" s="18">
        <v>94.2</v>
      </c>
      <c r="K8" s="18">
        <v>93.7</v>
      </c>
      <c r="L8" s="18">
        <v>94.5</v>
      </c>
      <c r="M8" s="18">
        <v>94.1</v>
      </c>
      <c r="N8" s="18">
        <v>94.3</v>
      </c>
      <c r="O8" s="18">
        <v>95</v>
      </c>
      <c r="P8" s="18">
        <v>94.6</v>
      </c>
    </row>
    <row r="9" spans="1:16" ht="51.75" thickBot="1" x14ac:dyDescent="0.3">
      <c r="A9" s="20" t="s">
        <v>29</v>
      </c>
      <c r="B9" s="18">
        <v>94.6</v>
      </c>
      <c r="C9" s="18">
        <v>95.4</v>
      </c>
      <c r="D9" s="18">
        <v>95</v>
      </c>
      <c r="E9" s="19">
        <v>94.2</v>
      </c>
      <c r="F9" s="19">
        <v>94.6</v>
      </c>
      <c r="G9" s="19">
        <v>94.4</v>
      </c>
      <c r="H9" s="18">
        <v>94.3</v>
      </c>
      <c r="I9" s="18">
        <v>94.7</v>
      </c>
      <c r="J9" s="18">
        <v>94.5</v>
      </c>
      <c r="K9" s="18">
        <v>93.9</v>
      </c>
      <c r="L9" s="18">
        <v>94.8</v>
      </c>
      <c r="M9" s="18">
        <v>94.4</v>
      </c>
      <c r="N9" s="18">
        <v>94.6</v>
      </c>
      <c r="O9" s="18">
        <v>95.1</v>
      </c>
      <c r="P9" s="18">
        <v>94.8</v>
      </c>
    </row>
    <row r="12" spans="1:16" ht="15.75" thickBot="1" x14ac:dyDescent="0.3">
      <c r="A12" s="16" t="s">
        <v>20</v>
      </c>
    </row>
    <row r="13" spans="1:16" ht="15.75" thickBot="1" x14ac:dyDescent="0.3">
      <c r="A13" s="32" t="s">
        <v>0</v>
      </c>
      <c r="B13" s="34" t="s">
        <v>1</v>
      </c>
      <c r="C13" s="35"/>
      <c r="D13" s="36"/>
      <c r="E13" s="34" t="s">
        <v>2</v>
      </c>
      <c r="F13" s="35"/>
      <c r="G13" s="36"/>
      <c r="H13" s="34" t="s">
        <v>3</v>
      </c>
      <c r="I13" s="35"/>
      <c r="J13" s="36"/>
      <c r="K13" s="34" t="s">
        <v>4</v>
      </c>
      <c r="L13" s="35"/>
      <c r="M13" s="36"/>
      <c r="N13" s="34" t="s">
        <v>5</v>
      </c>
      <c r="O13" s="35"/>
      <c r="P13" s="36"/>
    </row>
    <row r="14" spans="1:16" ht="15.75" thickBot="1" x14ac:dyDescent="0.3">
      <c r="A14" s="33"/>
      <c r="B14" s="3" t="s">
        <v>6</v>
      </c>
      <c r="C14" s="3" t="s">
        <v>7</v>
      </c>
      <c r="D14" s="4" t="s">
        <v>8</v>
      </c>
      <c r="E14" s="4" t="s">
        <v>6</v>
      </c>
      <c r="F14" s="4" t="s">
        <v>7</v>
      </c>
      <c r="G14" s="4" t="s">
        <v>8</v>
      </c>
      <c r="H14" s="3" t="s">
        <v>6</v>
      </c>
      <c r="I14" s="3" t="s">
        <v>7</v>
      </c>
      <c r="J14" s="3" t="s">
        <v>8</v>
      </c>
      <c r="K14" s="3" t="s">
        <v>6</v>
      </c>
      <c r="L14" s="3" t="s">
        <v>7</v>
      </c>
      <c r="M14" s="3" t="s">
        <v>8</v>
      </c>
      <c r="N14" s="4" t="s">
        <v>6</v>
      </c>
      <c r="O14" s="4" t="s">
        <v>7</v>
      </c>
      <c r="P14" s="4" t="s">
        <v>8</v>
      </c>
    </row>
    <row r="15" spans="1:16" ht="18.75" thickBot="1" x14ac:dyDescent="0.3">
      <c r="A15" s="15" t="s">
        <v>21</v>
      </c>
      <c r="B15" s="1">
        <v>97.1</v>
      </c>
      <c r="C15" s="1">
        <v>97.6</v>
      </c>
      <c r="D15" s="2">
        <v>97.3</v>
      </c>
      <c r="E15" s="2">
        <v>97</v>
      </c>
      <c r="F15" s="2">
        <v>97.7</v>
      </c>
      <c r="G15" s="2">
        <v>97.3</v>
      </c>
      <c r="H15" s="1">
        <v>96.7</v>
      </c>
      <c r="I15" s="1">
        <v>97.9</v>
      </c>
      <c r="J15" s="1">
        <v>97.4</v>
      </c>
      <c r="K15" s="1">
        <v>96.8</v>
      </c>
      <c r="L15" s="1">
        <v>97.8</v>
      </c>
      <c r="M15" s="1">
        <v>97.3</v>
      </c>
      <c r="N15" s="2">
        <v>96.8</v>
      </c>
      <c r="O15" s="2">
        <v>97.8</v>
      </c>
      <c r="P15" s="2">
        <v>97.3</v>
      </c>
    </row>
    <row r="16" spans="1:16" ht="18.75" thickBot="1" x14ac:dyDescent="0.3">
      <c r="A16" s="15" t="s">
        <v>23</v>
      </c>
      <c r="B16" s="1">
        <v>97.1</v>
      </c>
      <c r="C16" s="1">
        <v>97.9</v>
      </c>
      <c r="D16" s="2">
        <v>97.5</v>
      </c>
      <c r="E16" s="2">
        <v>97.2</v>
      </c>
      <c r="F16" s="2">
        <v>98.1</v>
      </c>
      <c r="G16" s="2">
        <v>97.7</v>
      </c>
      <c r="H16" s="1">
        <v>97.1</v>
      </c>
      <c r="I16" s="1">
        <v>98.2</v>
      </c>
      <c r="J16" s="1">
        <v>97.6</v>
      </c>
      <c r="K16" s="1">
        <v>97.3</v>
      </c>
      <c r="L16" s="1">
        <v>98.1</v>
      </c>
      <c r="M16" s="1">
        <v>97.7</v>
      </c>
      <c r="N16" s="2">
        <v>97.1</v>
      </c>
      <c r="O16" s="2">
        <v>98.2</v>
      </c>
      <c r="P16" s="2">
        <v>97.7</v>
      </c>
    </row>
    <row r="17" spans="1:18" ht="18.75" thickBot="1" x14ac:dyDescent="0.3">
      <c r="A17" s="15" t="s">
        <v>24</v>
      </c>
      <c r="B17" s="1">
        <v>97.5</v>
      </c>
      <c r="C17" s="1">
        <v>97.8</v>
      </c>
      <c r="D17" s="2">
        <v>97.6</v>
      </c>
      <c r="E17" s="2">
        <v>97.1</v>
      </c>
      <c r="F17" s="2">
        <v>97.6</v>
      </c>
      <c r="G17" s="2">
        <v>97.4</v>
      </c>
      <c r="H17" s="1">
        <v>97.2</v>
      </c>
      <c r="I17" s="1">
        <v>97.9</v>
      </c>
      <c r="J17" s="1">
        <v>97.6</v>
      </c>
      <c r="K17" s="1">
        <v>96.9</v>
      </c>
      <c r="L17" s="1">
        <v>97.9</v>
      </c>
      <c r="M17" s="1">
        <v>97.4</v>
      </c>
      <c r="N17" s="2">
        <v>97.3</v>
      </c>
      <c r="O17" s="2">
        <v>97.9</v>
      </c>
      <c r="P17" s="2">
        <v>97.6</v>
      </c>
    </row>
    <row r="18" spans="1:18" ht="15.75" thickBot="1" x14ac:dyDescent="0.3">
      <c r="A18" s="17" t="s">
        <v>25</v>
      </c>
      <c r="B18" s="18">
        <v>96.7</v>
      </c>
      <c r="C18" s="18">
        <v>98.1</v>
      </c>
      <c r="D18" s="18">
        <v>97.4</v>
      </c>
      <c r="E18" s="19">
        <v>96.9</v>
      </c>
      <c r="F18" s="19">
        <v>98.1</v>
      </c>
      <c r="G18" s="19">
        <v>97.5</v>
      </c>
      <c r="H18" s="18">
        <v>96.8</v>
      </c>
      <c r="I18" s="18">
        <v>98.2</v>
      </c>
      <c r="J18" s="18">
        <v>97.5</v>
      </c>
      <c r="K18" s="18">
        <v>97.2</v>
      </c>
      <c r="L18" s="18">
        <v>98.2</v>
      </c>
      <c r="M18" s="18">
        <v>97.7</v>
      </c>
      <c r="N18" s="18">
        <v>97.4</v>
      </c>
      <c r="O18" s="18">
        <v>97.8</v>
      </c>
      <c r="P18" s="18">
        <v>97.6</v>
      </c>
    </row>
    <row r="19" spans="1:18" ht="39" thickBot="1" x14ac:dyDescent="0.3">
      <c r="A19" s="20" t="s">
        <v>26</v>
      </c>
      <c r="B19" s="18">
        <v>97.5</v>
      </c>
      <c r="C19" s="18">
        <v>98.1</v>
      </c>
      <c r="D19" s="18">
        <v>97.8</v>
      </c>
      <c r="E19" s="19">
        <v>97.2</v>
      </c>
      <c r="F19" s="19">
        <v>98</v>
      </c>
      <c r="G19" s="19">
        <v>97.6</v>
      </c>
      <c r="H19" s="18">
        <v>97.3</v>
      </c>
      <c r="I19" s="18">
        <v>98.3</v>
      </c>
      <c r="J19" s="18">
        <v>97.8</v>
      </c>
      <c r="K19" s="18">
        <v>97.1</v>
      </c>
      <c r="L19" s="18">
        <v>98.3</v>
      </c>
      <c r="M19" s="18">
        <v>97.7</v>
      </c>
      <c r="N19" s="18">
        <v>97.3</v>
      </c>
      <c r="O19" s="18">
        <v>98.1</v>
      </c>
      <c r="P19" s="18">
        <v>97.7</v>
      </c>
    </row>
    <row r="20" spans="1:18" ht="51.75" thickBot="1" x14ac:dyDescent="0.3">
      <c r="A20" s="20" t="s">
        <v>29</v>
      </c>
      <c r="B20" s="18">
        <v>97.3</v>
      </c>
      <c r="C20" s="18">
        <v>98.2</v>
      </c>
      <c r="D20" s="18">
        <v>97.7</v>
      </c>
      <c r="E20" s="19">
        <v>97.5</v>
      </c>
      <c r="F20" s="19">
        <v>98.2</v>
      </c>
      <c r="G20" s="19">
        <v>97.9</v>
      </c>
      <c r="H20" s="18">
        <v>97.2</v>
      </c>
      <c r="I20" s="18">
        <v>98.5</v>
      </c>
      <c r="J20" s="18">
        <v>97.8</v>
      </c>
      <c r="K20" s="18">
        <v>97.4</v>
      </c>
      <c r="L20" s="18">
        <v>98.3</v>
      </c>
      <c r="M20" s="18">
        <v>97.9</v>
      </c>
      <c r="N20" s="18">
        <v>97.6</v>
      </c>
      <c r="O20" s="18">
        <v>98.4</v>
      </c>
      <c r="P20" s="18">
        <v>98</v>
      </c>
    </row>
    <row r="22" spans="1:18" x14ac:dyDescent="0.25">
      <c r="E22" s="8"/>
      <c r="F22" s="8"/>
      <c r="G22" s="24" t="s">
        <v>12</v>
      </c>
      <c r="H22" s="24"/>
      <c r="I22" s="25" t="s">
        <v>14</v>
      </c>
      <c r="J22" s="26"/>
      <c r="K22" s="25" t="s">
        <v>18</v>
      </c>
      <c r="L22" s="26"/>
      <c r="M22" s="27" t="s">
        <v>19</v>
      </c>
      <c r="N22" s="28"/>
      <c r="O22" s="29" t="s">
        <v>27</v>
      </c>
      <c r="P22" s="30"/>
      <c r="Q22" s="31" t="s">
        <v>28</v>
      </c>
      <c r="R22" s="31"/>
    </row>
    <row r="23" spans="1:18" x14ac:dyDescent="0.25">
      <c r="E23" s="8"/>
      <c r="F23" s="8"/>
      <c r="G23" s="9" t="s">
        <v>10</v>
      </c>
      <c r="H23" s="9" t="s">
        <v>11</v>
      </c>
      <c r="I23" s="10" t="s">
        <v>10</v>
      </c>
      <c r="J23" s="10" t="s">
        <v>11</v>
      </c>
      <c r="K23" s="11" t="s">
        <v>10</v>
      </c>
      <c r="L23" s="11" t="s">
        <v>11</v>
      </c>
      <c r="M23" s="12" t="s">
        <v>10</v>
      </c>
      <c r="N23" s="12" t="s">
        <v>11</v>
      </c>
      <c r="O23" s="13" t="s">
        <v>10</v>
      </c>
      <c r="P23" s="13" t="s">
        <v>11</v>
      </c>
      <c r="Q23" s="14" t="s">
        <v>10</v>
      </c>
      <c r="R23" s="14" t="s">
        <v>11</v>
      </c>
    </row>
    <row r="24" spans="1:18" x14ac:dyDescent="0.25">
      <c r="E24" s="23" t="s">
        <v>13</v>
      </c>
      <c r="F24" s="8" t="s">
        <v>6</v>
      </c>
      <c r="G24" s="9">
        <f>AVERAGE(B3,E3,H3,K3,N3)</f>
        <v>92.4</v>
      </c>
      <c r="H24" s="9">
        <f>_xlfn.STDEV.S(B3,E3,H3,K3,N3)</f>
        <v>0.64420493633625497</v>
      </c>
      <c r="I24" s="10">
        <f>AVERAGE(B4,E4,H4,K4,N4)</f>
        <v>86.94</v>
      </c>
      <c r="J24" s="10">
        <f>_xlfn.STDEV.S(B4,E4,H4,K4,N4)</f>
        <v>1.5501612819316566</v>
      </c>
      <c r="K24" s="11">
        <f>AVERAGE(B6,E6,H6,K6,N6)</f>
        <v>93.240000000000009</v>
      </c>
      <c r="L24" s="11">
        <f>_xlfn.STDEV.S(B6,E6,H6,K6,N6)</f>
        <v>0.39115214431215994</v>
      </c>
      <c r="M24" s="12">
        <f>AVERAGE(B7,E7,H7,K7,N7)</f>
        <v>93.179999999999993</v>
      </c>
      <c r="N24" s="12">
        <f>_xlfn.STDEV.S(B7,E7,H7,K7,N7)</f>
        <v>0.7918333157931664</v>
      </c>
      <c r="O24" s="13">
        <f>AVERAGE(B8,E8,H8,K8,N8)</f>
        <v>94</v>
      </c>
      <c r="P24" s="13">
        <f>_xlfn.STDEV.S(B8,E8,H8,K8,N8)</f>
        <v>0.37416573867739283</v>
      </c>
      <c r="Q24" s="14">
        <f>AVERAGE(B9,E9,H9,K9,N9)</f>
        <v>94.320000000000007</v>
      </c>
      <c r="R24" s="14">
        <f>_xlfn.STDEV.S(B9,E9,H9,K9,N9)</f>
        <v>0.29495762407504755</v>
      </c>
    </row>
    <row r="25" spans="1:18" x14ac:dyDescent="0.25">
      <c r="E25" s="23"/>
      <c r="F25" s="8" t="s">
        <v>7</v>
      </c>
      <c r="G25" s="9">
        <f>AVERAGE(C3,F3,I3,L3,O3)</f>
        <v>94.38</v>
      </c>
      <c r="H25" s="9">
        <f>_xlfn.STDEV.S(C3,F3,I3,L3,O3)</f>
        <v>0.37013511046643255</v>
      </c>
      <c r="I25" s="10">
        <f>AVERAGE(C4,F4,I4,L4,O4)</f>
        <v>88.179999999999993</v>
      </c>
      <c r="J25" s="10">
        <f>_xlfn.STDEV.S(C4,F4,I4,L4,O4)</f>
        <v>0.47644516998286196</v>
      </c>
      <c r="K25" s="11">
        <f>AVERAGE(C6,F6,I6,L6,O6)</f>
        <v>94.66</v>
      </c>
      <c r="L25" s="11">
        <f>_xlfn.STDEV.S(C6,F6,I6,L6,O6)</f>
        <v>0.41593268686171231</v>
      </c>
      <c r="M25" s="12">
        <f>AVERAGE(C7,F7,I7,L7,O7)</f>
        <v>94.04</v>
      </c>
      <c r="N25" s="12">
        <f>_xlfn.STDEV.S(C7,F7,I7,L7,O7)</f>
        <v>0.69498201415576255</v>
      </c>
      <c r="O25" s="13">
        <f>AVERAGE(C8,F8,I8,L8,O8)</f>
        <v>94.66</v>
      </c>
      <c r="P25" s="13">
        <f>_xlfn.STDEV.S(C8,F8,I8,L8,O8)</f>
        <v>0.32093613071762506</v>
      </c>
      <c r="Q25" s="14">
        <f>AVERAGE(C9,F9,I9,L9,O9)</f>
        <v>94.92</v>
      </c>
      <c r="R25" s="14">
        <f>_xlfn.STDEV.S(C9,F9,I9,L9,O9)</f>
        <v>0.32710854467592498</v>
      </c>
    </row>
    <row r="26" spans="1:18" x14ac:dyDescent="0.25">
      <c r="E26" s="23"/>
      <c r="F26" s="8" t="s">
        <v>8</v>
      </c>
      <c r="G26" s="9">
        <f>AVERAGE(D3,G3,J3,M3,P3)</f>
        <v>93.38</v>
      </c>
      <c r="H26" s="9">
        <f>_xlfn.STDEV.S(D3,G3,J3,M3,P3)</f>
        <v>0.43243496620879196</v>
      </c>
      <c r="I26" s="10">
        <f>AVERAGE(D4,G4,J4,M4,P4)</f>
        <v>87.52000000000001</v>
      </c>
      <c r="J26" s="10">
        <f>_xlfn.STDEV.S(D4,G4,J4,M4,P4)</f>
        <v>0.9230384607371418</v>
      </c>
      <c r="K26" s="11">
        <f>AVERAGE(D6,G6,J6,M6,P6)</f>
        <v>93.960000000000008</v>
      </c>
      <c r="L26" s="11">
        <f>_xlfn.STDEV.S(D6,G6,J6,M6,P6)</f>
        <v>0.32093613071762594</v>
      </c>
      <c r="M26" s="12">
        <f>AVERAGE(D7,G7,J7,M7,P7)</f>
        <v>93.600000000000009</v>
      </c>
      <c r="N26" s="12">
        <f>_xlfn.STDEV.S(D7,G7,J7,M7,P7)</f>
        <v>0.51961524227066103</v>
      </c>
      <c r="O26" s="13">
        <f>AVERAGE(D8,G8,J8,M8,P8)</f>
        <v>94.34</v>
      </c>
      <c r="P26" s="13">
        <f>_xlfn.STDEV.S(D8,G8,J8,M8,P8)</f>
        <v>0.34351128074635207</v>
      </c>
      <c r="Q26" s="14">
        <f>AVERAGE(D9,G9,J9,M9,P9)</f>
        <v>94.61999999999999</v>
      </c>
      <c r="R26" s="14">
        <f>_xlfn.STDEV.S(D9,G9,J9,M9,P9)</f>
        <v>0.268328157299972</v>
      </c>
    </row>
    <row r="30" spans="1:18" x14ac:dyDescent="0.25">
      <c r="E30" s="8"/>
      <c r="F30" s="8"/>
      <c r="G30" s="24" t="s">
        <v>12</v>
      </c>
      <c r="H30" s="24"/>
      <c r="I30" s="25" t="s">
        <v>14</v>
      </c>
      <c r="J30" s="26"/>
      <c r="K30" s="25" t="s">
        <v>18</v>
      </c>
      <c r="L30" s="26"/>
      <c r="M30" s="27" t="s">
        <v>22</v>
      </c>
      <c r="N30" s="28"/>
      <c r="O30" s="29" t="s">
        <v>27</v>
      </c>
      <c r="P30" s="30"/>
      <c r="Q30" s="21" t="s">
        <v>28</v>
      </c>
      <c r="R30" s="22"/>
    </row>
    <row r="31" spans="1:18" x14ac:dyDescent="0.25">
      <c r="E31" s="8"/>
      <c r="F31" s="8"/>
      <c r="G31" s="9" t="s">
        <v>10</v>
      </c>
      <c r="H31" s="9" t="s">
        <v>11</v>
      </c>
      <c r="I31" s="10" t="s">
        <v>10</v>
      </c>
      <c r="J31" s="10" t="s">
        <v>11</v>
      </c>
      <c r="K31" s="11" t="s">
        <v>10</v>
      </c>
      <c r="L31" s="11" t="s">
        <v>11</v>
      </c>
      <c r="M31" s="12" t="s">
        <v>10</v>
      </c>
      <c r="N31" s="12" t="s">
        <v>11</v>
      </c>
      <c r="O31" s="13" t="s">
        <v>10</v>
      </c>
      <c r="P31" s="13" t="s">
        <v>11</v>
      </c>
      <c r="Q31" s="14" t="s">
        <v>10</v>
      </c>
      <c r="R31" s="14" t="s">
        <v>11</v>
      </c>
    </row>
    <row r="32" spans="1:18" x14ac:dyDescent="0.25">
      <c r="E32" s="23" t="s">
        <v>20</v>
      </c>
      <c r="F32" s="8" t="s">
        <v>6</v>
      </c>
      <c r="G32" s="9">
        <f>AVERAGE(B15,E15,H15,K15,N15)</f>
        <v>96.88000000000001</v>
      </c>
      <c r="H32" s="9">
        <f>_xlfn.STDEV.S(B15,E15,H15,K15,N15)</f>
        <v>0.16431676725154784</v>
      </c>
      <c r="I32" s="10">
        <f>AVERAGE(B16,E16,H16,K16,N16)</f>
        <v>97.16</v>
      </c>
      <c r="J32" s="10">
        <f>_xlfn.STDEV.S(B16,E16,H16,K16,N16)</f>
        <v>8.9442719099993656E-2</v>
      </c>
      <c r="K32" s="11">
        <f>AVERAGE(B17,E17,H17,K17,N17)</f>
        <v>97.200000000000017</v>
      </c>
      <c r="L32" s="11">
        <f>_xlfn.STDEV.S(B17,E17,H17,K17,N17)</f>
        <v>0.22360679774997738</v>
      </c>
      <c r="M32" s="12">
        <f>AVERAGE(B18,E18,H18,K18,N18)</f>
        <v>97</v>
      </c>
      <c r="N32" s="12">
        <f>_xlfn.STDEV.S(B18,E18,H18,K18,N18)</f>
        <v>0.29154759474226671</v>
      </c>
      <c r="O32" s="13">
        <f>AVERAGE(B19,E19,H19,K19,N19)</f>
        <v>97.28</v>
      </c>
      <c r="P32" s="13">
        <f>_xlfn.STDEV.S(B19,E19,H19,K19,N19)</f>
        <v>0.14832396974191439</v>
      </c>
      <c r="Q32" s="14">
        <f>AVERAGE(B20,E20,H20,K20,N20)</f>
        <v>97.4</v>
      </c>
      <c r="R32" s="14">
        <f>_xlfn.STDEV.S(B20,E20,H20,K20,N20)</f>
        <v>0.15811388300841672</v>
      </c>
    </row>
    <row r="33" spans="5:18" x14ac:dyDescent="0.25">
      <c r="E33" s="23"/>
      <c r="F33" s="8" t="s">
        <v>7</v>
      </c>
      <c r="G33" s="9">
        <f>AVERAGE(C15,F15,I15,L15,O15)</f>
        <v>97.760000000000019</v>
      </c>
      <c r="H33" s="9">
        <f>_xlfn.STDEV.S(C15,F15,I15,L15,O15)</f>
        <v>0.11401754250991666</v>
      </c>
      <c r="I33" s="10">
        <f>AVERAGE(C16,F16,I16,L16,O16)</f>
        <v>98.1</v>
      </c>
      <c r="J33" s="10">
        <f>_xlfn.STDEV.S(C16,F16,I16,L16,O16)</f>
        <v>0.12247448713915775</v>
      </c>
      <c r="K33" s="11">
        <f>AVERAGE(C17,F17,I17,L17,O17)</f>
        <v>97.819999999999979</v>
      </c>
      <c r="L33" s="11">
        <f>_xlfn.STDEV.S(C17,F17,I17,L17,O17)</f>
        <v>0.1303840481040581</v>
      </c>
      <c r="M33" s="12">
        <f>AVERAGE(C18,F18,I18,L18,O18)</f>
        <v>98.08</v>
      </c>
      <c r="N33" s="12">
        <f>_xlfn.STDEV.S(C18,F18,I18,L18,O18)</f>
        <v>0.16431676725155173</v>
      </c>
      <c r="O33" s="13">
        <f>AVERAGE(C19,F19,I19,L19,O19)</f>
        <v>98.16</v>
      </c>
      <c r="P33" s="13">
        <f>_xlfn.STDEV.S(C19,F19,I19,L19,O19)</f>
        <v>0.13416407864998717</v>
      </c>
      <c r="Q33" s="14">
        <f>AVERAGE(C20,F20,I20,L20,O20)</f>
        <v>98.320000000000007</v>
      </c>
      <c r="R33" s="14">
        <f>_xlfn.STDEV.S(C20,F20,I20,L20,O20)</f>
        <v>0.13038404810405266</v>
      </c>
    </row>
    <row r="34" spans="5:18" x14ac:dyDescent="0.25">
      <c r="E34" s="23"/>
      <c r="F34" s="8" t="s">
        <v>8</v>
      </c>
      <c r="G34" s="9">
        <f>AVERAGE(D15,G15,J15,M15,P15)</f>
        <v>97.320000000000007</v>
      </c>
      <c r="H34" s="9">
        <f>_xlfn.STDEV.S(D15,G15,J15,M15,P15)</f>
        <v>4.4721359549999604E-2</v>
      </c>
      <c r="I34" s="10">
        <f>AVERAGE(D16,G16,J16,M16,P16)</f>
        <v>97.639999999999986</v>
      </c>
      <c r="J34" s="10">
        <f>_xlfn.STDEV.S(D16,G16,J16,M16,P16)</f>
        <v>8.9442719099993656E-2</v>
      </c>
      <c r="K34" s="11">
        <f>AVERAGE(D17,G17,J17,M17,P17)</f>
        <v>97.52000000000001</v>
      </c>
      <c r="L34" s="11">
        <f>_xlfn.STDEV.S(D17,G17,J17,M17,P17)</f>
        <v>0.10954451150102699</v>
      </c>
      <c r="M34" s="12">
        <f>AVERAGE(D18,G18,J18,M18,P18)</f>
        <v>97.539999999999992</v>
      </c>
      <c r="N34" s="12">
        <f>_xlfn.STDEV.S(D18,G18,J18,M18,P18)</f>
        <v>0.11401754250991229</v>
      </c>
      <c r="O34" s="13">
        <f>AVERAGE(D19,G19,J19,M19,P19)</f>
        <v>97.72</v>
      </c>
      <c r="P34" s="13">
        <f>_xlfn.STDEV.S(D19,G19,J19,M19,P19)</f>
        <v>8.3666002653407887E-2</v>
      </c>
      <c r="Q34" s="14">
        <f>AVERAGE(D20,G20,J20,M20,P20)</f>
        <v>97.860000000000014</v>
      </c>
      <c r="R34" s="14">
        <f>_xlfn.STDEV.S(D20,G20,J20,M20,P20)</f>
        <v>0.11401754250991417</v>
      </c>
    </row>
    <row r="37" spans="5:18" ht="15.75" thickBot="1" x14ac:dyDescent="0.3"/>
    <row r="38" spans="5:18" x14ac:dyDescent="0.25">
      <c r="I38" s="37">
        <v>97.3</v>
      </c>
      <c r="K38">
        <f>I38/J40</f>
        <v>0.24948717948717947</v>
      </c>
    </row>
    <row r="39" spans="5:18" x14ac:dyDescent="0.25">
      <c r="I39" s="38">
        <v>97.8</v>
      </c>
      <c r="K39">
        <f>I39/J40</f>
        <v>0.25076923076923074</v>
      </c>
    </row>
    <row r="40" spans="5:18" x14ac:dyDescent="0.25">
      <c r="I40" s="38">
        <v>97.4</v>
      </c>
      <c r="J40">
        <f>SUM(I38:I41)</f>
        <v>390</v>
      </c>
      <c r="K40">
        <f>I40/J40</f>
        <v>0.24974358974358976</v>
      </c>
    </row>
    <row r="41" spans="5:18" ht="15.75" thickBot="1" x14ac:dyDescent="0.3">
      <c r="I41" s="39">
        <v>97.5</v>
      </c>
      <c r="K41">
        <f>I41/J40</f>
        <v>0.25</v>
      </c>
    </row>
  </sheetData>
  <mergeCells count="26">
    <mergeCell ref="E24:E26"/>
    <mergeCell ref="I22:J22"/>
    <mergeCell ref="K22:L22"/>
    <mergeCell ref="M22:N22"/>
    <mergeCell ref="O22:P22"/>
    <mergeCell ref="Q22:R22"/>
    <mergeCell ref="A1:A2"/>
    <mergeCell ref="B1:D1"/>
    <mergeCell ref="E1:G1"/>
    <mergeCell ref="H1:J1"/>
    <mergeCell ref="K1:M1"/>
    <mergeCell ref="N1:P1"/>
    <mergeCell ref="A13:A14"/>
    <mergeCell ref="B13:D13"/>
    <mergeCell ref="E13:G13"/>
    <mergeCell ref="H13:J13"/>
    <mergeCell ref="K13:M13"/>
    <mergeCell ref="N13:P13"/>
    <mergeCell ref="G22:H22"/>
    <mergeCell ref="Q30:R30"/>
    <mergeCell ref="E32:E34"/>
    <mergeCell ref="G30:H30"/>
    <mergeCell ref="I30:J30"/>
    <mergeCell ref="K30:L30"/>
    <mergeCell ref="M30:N30"/>
    <mergeCell ref="O30:P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Adel Abdelhady Mohammed</dc:creator>
  <cp:lastModifiedBy>Maryam Adel Abdelhady Mohammed</cp:lastModifiedBy>
  <dcterms:created xsi:type="dcterms:W3CDTF">2026-09-29T08:11:33Z</dcterms:created>
  <dcterms:modified xsi:type="dcterms:W3CDTF">2026-10-03T20:49:45Z</dcterms:modified>
</cp:coreProperties>
</file>